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" sheetId="1" state="visible" r:id="rId3"/>
    <sheet name="Resumen" sheetId="2" state="visible" r:id="rId4"/>
    <sheet name="Hitos SQ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<sst xmlns="http://schemas.openxmlformats.org/spreadsheetml/2006/main" count="262" uniqueCount="132">
  <si>
    <t xml:space="preserve">Planificación del proyecto · Sistema Asilo «Cabeza de Algodón» · versión 3.0</t>
  </si>
  <si>
    <t xml:space="preserve">Metodología incremental: iteraciones de 2 semanas, cada una con requerimiento, desarrollo, prueba y revisión SQA. Responsable: Gilmer Iván Ortiz Samayoa (carné 3090-23-12685).</t>
  </si>
  <si>
    <t xml:space="preserve">Celdas amarillas: escriba las horas realmente ejecutadas (número, p. ej. 6). El avance, los totales y la hoja Resumen se calculan solos.</t>
  </si>
  <si>
    <t xml:space="preserve">Iteración</t>
  </si>
  <si>
    <t xml:space="preserve">Nombre de la iteración</t>
  </si>
  <si>
    <t xml:space="preserve">Tipo de actividad</t>
  </si>
  <si>
    <t xml:space="preserve">Actividad</t>
  </si>
  <si>
    <t xml:space="preserve">Entregable / evidencia</t>
  </si>
  <si>
    <t xml:space="preserve">Inicio</t>
  </si>
  <si>
    <t xml:space="preserve">Fin</t>
  </si>
  <si>
    <t xml:space="preserve">Horas plan</t>
  </si>
  <si>
    <t xml:space="preserve">Horas ejecutadas</t>
  </si>
  <si>
    <t xml:space="preserve">Avance</t>
  </si>
  <si>
    <t xml:space="preserve">Responsable</t>
  </si>
  <si>
    <t xml:space="preserve">I1</t>
  </si>
  <si>
    <t xml:space="preserve">Análisis y línea base</t>
  </si>
  <si>
    <t xml:space="preserve">Requerimiento</t>
  </si>
  <si>
    <t xml:space="preserve">Levantar necesidades del asilo y definir alcance v1 / fase 2</t>
  </si>
  <si>
    <t xml:space="preserve">Alcance aprobado</t>
  </si>
  <si>
    <t xml:space="preserve">Gilmer Iván Ortiz Samayoa</t>
  </si>
  <si>
    <t xml:space="preserve">Redactar ERS (RF y RNF medibles) y casos de uso</t>
  </si>
  <si>
    <t xml:space="preserve">ERS v1.0</t>
  </si>
  <si>
    <t xml:space="preserve">Documentación</t>
  </si>
  <si>
    <t xml:space="preserve">Declarar metodología incremental y plan de iteraciones</t>
  </si>
  <si>
    <t xml:space="preserve">Plan del proyecto</t>
  </si>
  <si>
    <t xml:space="preserve">Prueba</t>
  </si>
  <si>
    <t xml:space="preserve">Revisión cruzada de requerimientos (claros, únicos y verificables)</t>
  </si>
  <si>
    <t xml:space="preserve">Lista de verificación ISO 29148</t>
  </si>
  <si>
    <t xml:space="preserve">Revisión SQA</t>
  </si>
  <si>
    <t xml:space="preserve">Hito SQA 1: revisión de alcance y ERS</t>
  </si>
  <si>
    <t xml:space="preserve">Acta de revisión</t>
  </si>
  <si>
    <t xml:space="preserve">I2</t>
  </si>
  <si>
    <t xml:space="preserve">Diseño de datos y experiencia de usuario</t>
  </si>
  <si>
    <t xml:space="preserve">Modelo entidad-relación y diccionario de datos</t>
  </si>
  <si>
    <t xml:space="preserve">Modelo ER + diccionario</t>
  </si>
  <si>
    <t xml:space="preserve">Desarrollo</t>
  </si>
  <si>
    <t xml:space="preserve">Script SQL versionado (esquema, datos de prueba, vistas)</t>
  </si>
  <si>
    <t xml:space="preserve">01/02/03 .sql</t>
  </si>
  <si>
    <t xml:space="preserve">Prototipo de pantallas y navegación por rol</t>
  </si>
  <si>
    <t xml:space="preserve">Prototipo navegable</t>
  </si>
  <si>
    <t xml:space="preserve">Validar el script contra el diccionario y probar con datos ficticios</t>
  </si>
  <si>
    <t xml:space="preserve">Evidencia de importación</t>
  </si>
  <si>
    <t xml:space="preserve">Hito SQA 2: revisión del modelo de datos</t>
  </si>
  <si>
    <t xml:space="preserve">I3</t>
  </si>
  <si>
    <t xml:space="preserve">Núcleo: seguridad, usuarios y residentes</t>
  </si>
  <si>
    <t xml:space="preserve">Inicio de sesión, PBKDF2, bloqueo y cambio obligatorio de contraseña</t>
  </si>
  <si>
    <t xml:space="preserve">RF-01, RF-02, RF-21, RF-22</t>
  </si>
  <si>
    <t xml:space="preserve">Registro, consulta, búsqueda, edición y egreso de residentes; habitaciones</t>
  </si>
  <si>
    <t xml:space="preserve">RF-03 a RF-07, RF-20</t>
  </si>
  <si>
    <t xml:space="preserve">Pruebas funcionales y de seguridad del núcleo</t>
  </si>
  <si>
    <t xml:space="preserve">CP-01 a CP-07, PV-01 a PV-18</t>
  </si>
  <si>
    <t xml:space="preserve">Hito SQA 3: revisión del núcleo</t>
  </si>
  <si>
    <t xml:space="preserve">I4</t>
  </si>
  <si>
    <t xml:space="preserve">Atención médica</t>
  </si>
  <si>
    <t xml:space="preserve">Ficha médica, notas, signos vitales y medicación del día</t>
  </si>
  <si>
    <t xml:space="preserve">RF-15, RF-16, RF-17</t>
  </si>
  <si>
    <t xml:space="preserve">Citas, personal médico, laboratorio e inventario de medicamentos</t>
  </si>
  <si>
    <t xml:space="preserve">RF-08, RF-09, RF-10, RF-18</t>
  </si>
  <si>
    <t xml:space="preserve">Pruebas funcionales de atención médica</t>
  </si>
  <si>
    <t xml:space="preserve">CP-08 a CP-10, CP-15 a CP-18</t>
  </si>
  <si>
    <t xml:space="preserve">Hito SQA 4: revisión de módulos de atención</t>
  </si>
  <si>
    <t xml:space="preserve">I5</t>
  </si>
  <si>
    <t xml:space="preserve">Administración y persistencia MySQL</t>
  </si>
  <si>
    <t xml:space="preserve">Farmacia (rol Paciente), facturación, donaciones y mi expediente</t>
  </si>
  <si>
    <t xml:space="preserve">RF-11, RF-19, RF-25</t>
  </si>
  <si>
    <t xml:space="preserve">Reportes PDF/CSV, panel principal, bitácora y respaldo</t>
  </si>
  <si>
    <t xml:space="preserve">RF-12, RF-13, RF-23, RF-24</t>
  </si>
  <si>
    <t xml:space="preserve">API PHP + MySQL con permisos por rol en el servidor</t>
  </si>
  <si>
    <t xml:space="preserve">api.php, config.php</t>
  </si>
  <si>
    <t xml:space="preserve">Pruebas funcionales, de permisos y de rendimiento (RNF-05)</t>
  </si>
  <si>
    <t xml:space="preserve">CP-11 a CP-14, CP-19 a CP-27</t>
  </si>
  <si>
    <t xml:space="preserve">Hito SQA 5: atención de hallazgos H-01 a H-10</t>
  </si>
  <si>
    <t xml:space="preserve">Respuesta al informe SQA</t>
  </si>
  <si>
    <t xml:space="preserve">I6</t>
  </si>
  <si>
    <t xml:space="preserve">Integración, despliegue y aceptación</t>
  </si>
  <si>
    <t xml:space="preserve">Despliegue en XAMPP y en hosting con HTTPS; ajustes de configuración</t>
  </si>
  <si>
    <t xml:space="preserve">Sistema en línea</t>
  </si>
  <si>
    <t xml:space="preserve">Pruebas de aceptación con usuarios del asilo (meta RNF-02)</t>
  </si>
  <si>
    <t xml:space="preserve">Acta de aceptación</t>
  </si>
  <si>
    <t xml:space="preserve">Regresión completa y verificación de cierre de hallazgos</t>
  </si>
  <si>
    <t xml:space="preserve">Evidencia de pruebas</t>
  </si>
  <si>
    <t xml:space="preserve">Hito SQA 6: verificación en ejecución y cierre de hallazgos</t>
  </si>
  <si>
    <t xml:space="preserve">Informe SQA final</t>
  </si>
  <si>
    <t xml:space="preserve">Holgura para imprevistos</t>
  </si>
  <si>
    <t xml:space="preserve">—</t>
  </si>
  <si>
    <t xml:space="preserve">C</t>
  </si>
  <si>
    <t xml:space="preserve">Cierre</t>
  </si>
  <si>
    <t xml:space="preserve">Manual de usuario y manual técnico</t>
  </si>
  <si>
    <t xml:space="preserve">Manuales</t>
  </si>
  <si>
    <t xml:space="preserve">Documentación final y presentación</t>
  </si>
  <si>
    <t xml:space="preserve">Entrega final</t>
  </si>
  <si>
    <t xml:space="preserve">Revisión final de documentos y control de versiones</t>
  </si>
  <si>
    <t xml:space="preserve">Acta de cierre</t>
  </si>
  <si>
    <t xml:space="preserve">TOTAL</t>
  </si>
  <si>
    <t xml:space="preserve">Control</t>
  </si>
  <si>
    <t xml:space="preserve">Resumen por iteración</t>
  </si>
  <si>
    <t xml:space="preserve">Nombre</t>
  </si>
  <si>
    <t xml:space="preserve">Semanas</t>
  </si>
  <si>
    <t xml:space="preserve">Horas por semana</t>
  </si>
  <si>
    <t xml:space="preserve">Horas de prueba</t>
  </si>
  <si>
    <t xml:space="preserve">Horas de revisión SQA</t>
  </si>
  <si>
    <t xml:space="preserve">Notas</t>
  </si>
  <si>
    <t xml:space="preserve">Periodo: 24/08/2026 al 20/11/2026 (13 semanas), igual que la planificación v2.0.</t>
  </si>
  <si>
    <t xml:space="preserve">Corrección H-08: la versión 2.0 decía 222 h, pero sus fases sumaban 230 h. Este plan suma 230 h y lo comprueba con fórmula.</t>
  </si>
  <si>
    <t xml:space="preserve">Las pruebas y la revisión SQA están dentro de cada iteración, no solo al final; farmacia y reportes tienen horas asignadas (I5).</t>
  </si>
  <si>
    <t xml:space="preserve">Disponibilidad del responsable: 15 a 18 horas semanales (dato de la planificación v2.0). Incluye 4 h de holgura en I6.</t>
  </si>
  <si>
    <t xml:space="preserve">Este archivo reemplaza a «Planificacion_Casa_Serena.xlsx», nombre que correspondía a otro proyecto (H-09).</t>
  </si>
  <si>
    <t xml:space="preserve">Hitos de revisión SQA y criterio de terminado</t>
  </si>
  <si>
    <t xml:space="preserve">Hito</t>
  </si>
  <si>
    <t xml:space="preserve">Fecha</t>
  </si>
  <si>
    <t xml:space="preserve">Qué se revisa</t>
  </si>
  <si>
    <t xml:space="preserve">Criterio para aprobar</t>
  </si>
  <si>
    <t xml:space="preserve">SQA 1</t>
  </si>
  <si>
    <t xml:space="preserve">Alcance y ERS</t>
  </si>
  <si>
    <t xml:space="preserve">Cada RF es claro, único y verificable; alcance v1 y fase 2 firmados</t>
  </si>
  <si>
    <t xml:space="preserve">SQA 2</t>
  </si>
  <si>
    <t xml:space="preserve">Modelo de datos</t>
  </si>
  <si>
    <t xml:space="preserve">Script SQL coincide con el diccionario de datos</t>
  </si>
  <si>
    <t xml:space="preserve">SQA 3</t>
  </si>
  <si>
    <t xml:space="preserve">Seguridad y residentes</t>
  </si>
  <si>
    <t xml:space="preserve">Pruebas PV-01 a PV-18 y CP-01 a CP-07 aprobadas</t>
  </si>
  <si>
    <t xml:space="preserve">SQA 4</t>
  </si>
  <si>
    <t xml:space="preserve">CP-08 a CP-10 y CP-15 a CP-18 aprobados</t>
  </si>
  <si>
    <t xml:space="preserve">SQA 5</t>
  </si>
  <si>
    <t xml:space="preserve">Administración y hallazgos</t>
  </si>
  <si>
    <t xml:space="preserve">Respuesta a H-01 a H-10 con evidencia</t>
  </si>
  <si>
    <t xml:space="preserve">SQA 6</t>
  </si>
  <si>
    <t xml:space="preserve">Verificación en ejecución</t>
  </si>
  <si>
    <t xml:space="preserve">Hallazgos cerrados por el analista SQA</t>
  </si>
  <si>
    <t xml:space="preserve">Documentación final</t>
  </si>
  <si>
    <t xml:space="preserve">Tabla de control de versiones actualizada</t>
  </si>
  <si>
    <t xml:space="preserve">Definición de terminado para cada entregable: requerimiento documentado, código hecho, caso de prueba ejecutado con evidencia y revisión SQA sin hallazgos altos abiertos.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</si>
</sst>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%"/>
    <numFmt numFmtId="167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32B5C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8A55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11"/>
      <color rgb="FF0A7A3A"/>
      <name val="Arial"/>
      <family val="0"/>
      <charset val="1"/>
    </font>
    <font>
      <b val="true"/>
      <sz val="13"/>
      <color rgb="FF232B5C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32B5C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DE8E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CE8"/>
      </left>
      <right style="thin">
        <color rgb="FFC9CCE8"/>
      </right>
      <top style="thin">
        <color rgb="FFC9CCE8"/>
      </top>
      <bottom style="thin">
        <color rgb="FFC9CC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A7A3A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8E1"/>
      <rgbColor rgb="FFCCFFFF"/>
      <rgbColor rgb="FF660066"/>
      <rgbColor rgb="FFFF8080"/>
      <rgbColor rgb="FF0066CC"/>
      <rgbColor rgb="FFC9CC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A5514"/>
      <rgbColor rgb="FF993366"/>
      <rgbColor rgb="FF333399"/>
      <rgbColor rgb="FF232B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4" min="4" style="0" width="52"/>
    <col collapsed="false" customWidth="true" hidden="false" outlineLevel="0" max="5" min="5" style="0" width="30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24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customFormat="false" ht="26.8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</row>
    <row r="6" customFormat="false" ht="15" hidden="false" customHeight="false" outlineLevel="0" collapsed="false">
      <c r="A6" s="6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7" t="n">
        <v>46258</v>
      </c>
      <c r="G6" s="7" t="n">
        <v>46269</v>
      </c>
      <c r="H6" s="8" t="n">
        <v>8</v>
      </c>
      <c r="I6" s="9"/>
      <c r="J6" s="10" t="n">
        <f aca="false">IF(H6=0,0,MIN(1,I6/H6))</f>
        <v>0</v>
      </c>
      <c r="K6" s="6" t="s">
        <v>19</v>
      </c>
    </row>
    <row r="7" customFormat="false" ht="15" hidden="false" customHeight="false" outlineLevel="0" collapsed="false">
      <c r="A7" s="6" t="s">
        <v>14</v>
      </c>
      <c r="B7" s="6" t="s">
        <v>15</v>
      </c>
      <c r="C7" s="6" t="s">
        <v>16</v>
      </c>
      <c r="D7" s="6" t="s">
        <v>20</v>
      </c>
      <c r="E7" s="6" t="s">
        <v>21</v>
      </c>
      <c r="F7" s="7" t="n">
        <v>46258</v>
      </c>
      <c r="G7" s="7" t="n">
        <v>46269</v>
      </c>
      <c r="H7" s="8" t="n">
        <v>14</v>
      </c>
      <c r="I7" s="9"/>
      <c r="J7" s="10" t="n">
        <f aca="false">IF(H7=0,0,MIN(1,I7/H7))</f>
        <v>0</v>
      </c>
      <c r="K7" s="6" t="s">
        <v>19</v>
      </c>
    </row>
    <row r="8" customFormat="false" ht="15" hidden="false" customHeight="false" outlineLevel="0" collapsed="false">
      <c r="A8" s="6" t="s">
        <v>14</v>
      </c>
      <c r="B8" s="6" t="s">
        <v>15</v>
      </c>
      <c r="C8" s="6" t="s">
        <v>22</v>
      </c>
      <c r="D8" s="6" t="s">
        <v>23</v>
      </c>
      <c r="E8" s="6" t="s">
        <v>24</v>
      </c>
      <c r="F8" s="7" t="n">
        <v>46258</v>
      </c>
      <c r="G8" s="7" t="n">
        <v>46269</v>
      </c>
      <c r="H8" s="8" t="n">
        <v>5</v>
      </c>
      <c r="I8" s="9"/>
      <c r="J8" s="10" t="n">
        <f aca="false">IF(H8=0,0,MIN(1,I8/H8))</f>
        <v>0</v>
      </c>
      <c r="K8" s="6" t="s">
        <v>19</v>
      </c>
    </row>
    <row r="9" customFormat="false" ht="23.85" hidden="false" customHeight="false" outlineLevel="0" collapsed="false">
      <c r="A9" s="6" t="s">
        <v>14</v>
      </c>
      <c r="B9" s="6" t="s">
        <v>15</v>
      </c>
      <c r="C9" s="6" t="s">
        <v>25</v>
      </c>
      <c r="D9" s="6" t="s">
        <v>26</v>
      </c>
      <c r="E9" s="6" t="s">
        <v>27</v>
      </c>
      <c r="F9" s="7" t="n">
        <v>46258</v>
      </c>
      <c r="G9" s="7" t="n">
        <v>46269</v>
      </c>
      <c r="H9" s="8" t="n">
        <v>5</v>
      </c>
      <c r="I9" s="9"/>
      <c r="J9" s="10" t="n">
        <f aca="false">IF(H9=0,0,MIN(1,I9/H9))</f>
        <v>0</v>
      </c>
      <c r="K9" s="6" t="s">
        <v>19</v>
      </c>
    </row>
    <row r="10" customFormat="false" ht="15" hidden="false" customHeight="false" outlineLevel="0" collapsed="false">
      <c r="A10" s="6" t="s">
        <v>14</v>
      </c>
      <c r="B10" s="6" t="s">
        <v>15</v>
      </c>
      <c r="C10" s="11" t="s">
        <v>28</v>
      </c>
      <c r="D10" s="11" t="s">
        <v>29</v>
      </c>
      <c r="E10" s="11" t="s">
        <v>30</v>
      </c>
      <c r="F10" s="7" t="n">
        <v>46258</v>
      </c>
      <c r="G10" s="7" t="n">
        <v>46269</v>
      </c>
      <c r="H10" s="8" t="n">
        <v>3</v>
      </c>
      <c r="I10" s="9"/>
      <c r="J10" s="10" t="n">
        <f aca="false">IF(H10=0,0,MIN(1,I10/H10))</f>
        <v>0</v>
      </c>
      <c r="K10" s="6" t="s">
        <v>19</v>
      </c>
    </row>
    <row r="11" customFormat="false" ht="23.85" hidden="false" customHeight="false" outlineLevel="0" collapsed="false">
      <c r="A11" s="6" t="s">
        <v>31</v>
      </c>
      <c r="B11" s="6" t="s">
        <v>32</v>
      </c>
      <c r="C11" s="6" t="s">
        <v>16</v>
      </c>
      <c r="D11" s="6" t="s">
        <v>33</v>
      </c>
      <c r="E11" s="6" t="s">
        <v>34</v>
      </c>
      <c r="F11" s="7" t="n">
        <v>46272</v>
      </c>
      <c r="G11" s="7" t="n">
        <v>46283</v>
      </c>
      <c r="H11" s="8" t="n">
        <v>8</v>
      </c>
      <c r="I11" s="9"/>
      <c r="J11" s="10" t="n">
        <f aca="false">IF(H11=0,0,MIN(1,I11/H11))</f>
        <v>0</v>
      </c>
      <c r="K11" s="6" t="s">
        <v>19</v>
      </c>
    </row>
    <row r="12" customFormat="false" ht="23.85" hidden="false" customHeight="false" outlineLevel="0" collapsed="false">
      <c r="A12" s="6" t="s">
        <v>31</v>
      </c>
      <c r="B12" s="6" t="s">
        <v>32</v>
      </c>
      <c r="C12" s="6" t="s">
        <v>35</v>
      </c>
      <c r="D12" s="6" t="s">
        <v>36</v>
      </c>
      <c r="E12" s="6" t="s">
        <v>37</v>
      </c>
      <c r="F12" s="7" t="n">
        <v>46272</v>
      </c>
      <c r="G12" s="7" t="n">
        <v>46283</v>
      </c>
      <c r="H12" s="8" t="n">
        <v>10</v>
      </c>
      <c r="I12" s="9"/>
      <c r="J12" s="10" t="n">
        <f aca="false">IF(H12=0,0,MIN(1,I12/H12))</f>
        <v>0</v>
      </c>
      <c r="K12" s="6" t="s">
        <v>19</v>
      </c>
    </row>
    <row r="13" customFormat="false" ht="23.85" hidden="false" customHeight="false" outlineLevel="0" collapsed="false">
      <c r="A13" s="6" t="s">
        <v>31</v>
      </c>
      <c r="B13" s="6" t="s">
        <v>32</v>
      </c>
      <c r="C13" s="6" t="s">
        <v>35</v>
      </c>
      <c r="D13" s="6" t="s">
        <v>38</v>
      </c>
      <c r="E13" s="6" t="s">
        <v>39</v>
      </c>
      <c r="F13" s="7" t="n">
        <v>46272</v>
      </c>
      <c r="G13" s="7" t="n">
        <v>46283</v>
      </c>
      <c r="H13" s="8" t="n">
        <v>9</v>
      </c>
      <c r="I13" s="9"/>
      <c r="J13" s="10" t="n">
        <f aca="false">IF(H13=0,0,MIN(1,I13/H13))</f>
        <v>0</v>
      </c>
      <c r="K13" s="6" t="s">
        <v>19</v>
      </c>
    </row>
    <row r="14" customFormat="false" ht="23.85" hidden="false" customHeight="false" outlineLevel="0" collapsed="false">
      <c r="A14" s="6" t="s">
        <v>31</v>
      </c>
      <c r="B14" s="6" t="s">
        <v>32</v>
      </c>
      <c r="C14" s="6" t="s">
        <v>25</v>
      </c>
      <c r="D14" s="6" t="s">
        <v>40</v>
      </c>
      <c r="E14" s="6" t="s">
        <v>41</v>
      </c>
      <c r="F14" s="7" t="n">
        <v>46272</v>
      </c>
      <c r="G14" s="7" t="n">
        <v>46283</v>
      </c>
      <c r="H14" s="8" t="n">
        <v>5</v>
      </c>
      <c r="I14" s="9"/>
      <c r="J14" s="10" t="n">
        <f aca="false">IF(H14=0,0,MIN(1,I14/H14))</f>
        <v>0</v>
      </c>
      <c r="K14" s="6" t="s">
        <v>19</v>
      </c>
    </row>
    <row r="15" customFormat="false" ht="23.85" hidden="false" customHeight="false" outlineLevel="0" collapsed="false">
      <c r="A15" s="6" t="s">
        <v>31</v>
      </c>
      <c r="B15" s="6" t="s">
        <v>32</v>
      </c>
      <c r="C15" s="11" t="s">
        <v>28</v>
      </c>
      <c r="D15" s="11" t="s">
        <v>42</v>
      </c>
      <c r="E15" s="11" t="s">
        <v>30</v>
      </c>
      <c r="F15" s="7" t="n">
        <v>46272</v>
      </c>
      <c r="G15" s="7" t="n">
        <v>46283</v>
      </c>
      <c r="H15" s="8" t="n">
        <v>3</v>
      </c>
      <c r="I15" s="9"/>
      <c r="J15" s="10" t="n">
        <f aca="false">IF(H15=0,0,MIN(1,I15/H15))</f>
        <v>0</v>
      </c>
      <c r="K15" s="6" t="s">
        <v>19</v>
      </c>
    </row>
    <row r="16" customFormat="false" ht="23.85" hidden="false" customHeight="false" outlineLevel="0" collapsed="false">
      <c r="A16" s="6" t="s">
        <v>43</v>
      </c>
      <c r="B16" s="6" t="s">
        <v>44</v>
      </c>
      <c r="C16" s="6" t="s">
        <v>35</v>
      </c>
      <c r="D16" s="6" t="s">
        <v>45</v>
      </c>
      <c r="E16" s="6" t="s">
        <v>46</v>
      </c>
      <c r="F16" s="7" t="n">
        <v>46286</v>
      </c>
      <c r="G16" s="7" t="n">
        <v>46297</v>
      </c>
      <c r="H16" s="8" t="n">
        <v>10</v>
      </c>
      <c r="I16" s="9"/>
      <c r="J16" s="10" t="n">
        <f aca="false">IF(H16=0,0,MIN(1,I16/H16))</f>
        <v>0</v>
      </c>
      <c r="K16" s="6" t="s">
        <v>19</v>
      </c>
    </row>
    <row r="17" customFormat="false" ht="23.85" hidden="false" customHeight="false" outlineLevel="0" collapsed="false">
      <c r="A17" s="6" t="s">
        <v>43</v>
      </c>
      <c r="B17" s="6" t="s">
        <v>44</v>
      </c>
      <c r="C17" s="6" t="s">
        <v>35</v>
      </c>
      <c r="D17" s="6" t="s">
        <v>47</v>
      </c>
      <c r="E17" s="6" t="s">
        <v>48</v>
      </c>
      <c r="F17" s="7" t="n">
        <v>46286</v>
      </c>
      <c r="G17" s="7" t="n">
        <v>46297</v>
      </c>
      <c r="H17" s="8" t="n">
        <v>12</v>
      </c>
      <c r="I17" s="9"/>
      <c r="J17" s="10" t="n">
        <f aca="false">IF(H17=0,0,MIN(1,I17/H17))</f>
        <v>0</v>
      </c>
      <c r="K17" s="6" t="s">
        <v>19</v>
      </c>
    </row>
    <row r="18" customFormat="false" ht="23.85" hidden="false" customHeight="false" outlineLevel="0" collapsed="false">
      <c r="A18" s="6" t="s">
        <v>43</v>
      </c>
      <c r="B18" s="6" t="s">
        <v>44</v>
      </c>
      <c r="C18" s="6" t="s">
        <v>25</v>
      </c>
      <c r="D18" s="6" t="s">
        <v>49</v>
      </c>
      <c r="E18" s="6" t="s">
        <v>50</v>
      </c>
      <c r="F18" s="7" t="n">
        <v>46286</v>
      </c>
      <c r="G18" s="7" t="n">
        <v>46297</v>
      </c>
      <c r="H18" s="8" t="n">
        <v>9</v>
      </c>
      <c r="I18" s="9"/>
      <c r="J18" s="10" t="n">
        <f aca="false">IF(H18=0,0,MIN(1,I18/H18))</f>
        <v>0</v>
      </c>
      <c r="K18" s="6" t="s">
        <v>19</v>
      </c>
    </row>
    <row r="19" customFormat="false" ht="23.85" hidden="false" customHeight="false" outlineLevel="0" collapsed="false">
      <c r="A19" s="6" t="s">
        <v>43</v>
      </c>
      <c r="B19" s="6" t="s">
        <v>44</v>
      </c>
      <c r="C19" s="11" t="s">
        <v>28</v>
      </c>
      <c r="D19" s="11" t="s">
        <v>51</v>
      </c>
      <c r="E19" s="11" t="s">
        <v>30</v>
      </c>
      <c r="F19" s="7" t="n">
        <v>46286</v>
      </c>
      <c r="G19" s="7" t="n">
        <v>46297</v>
      </c>
      <c r="H19" s="8" t="n">
        <v>4</v>
      </c>
      <c r="I19" s="9"/>
      <c r="J19" s="10" t="n">
        <f aca="false">IF(H19=0,0,MIN(1,I19/H19))</f>
        <v>0</v>
      </c>
      <c r="K19" s="6" t="s">
        <v>19</v>
      </c>
    </row>
    <row r="20" customFormat="false" ht="15" hidden="false" customHeight="false" outlineLevel="0" collapsed="false">
      <c r="A20" s="6" t="s">
        <v>52</v>
      </c>
      <c r="B20" s="6" t="s">
        <v>53</v>
      </c>
      <c r="C20" s="6" t="s">
        <v>35</v>
      </c>
      <c r="D20" s="6" t="s">
        <v>54</v>
      </c>
      <c r="E20" s="6" t="s">
        <v>55</v>
      </c>
      <c r="F20" s="7" t="n">
        <v>46300</v>
      </c>
      <c r="G20" s="7" t="n">
        <v>46311</v>
      </c>
      <c r="H20" s="8" t="n">
        <v>10</v>
      </c>
      <c r="I20" s="9"/>
      <c r="J20" s="10" t="n">
        <f aca="false">IF(H20=0,0,MIN(1,I20/H20))</f>
        <v>0</v>
      </c>
      <c r="K20" s="6" t="s">
        <v>19</v>
      </c>
    </row>
    <row r="21" customFormat="false" ht="23.85" hidden="false" customHeight="false" outlineLevel="0" collapsed="false">
      <c r="A21" s="6" t="s">
        <v>52</v>
      </c>
      <c r="B21" s="6" t="s">
        <v>53</v>
      </c>
      <c r="C21" s="6" t="s">
        <v>35</v>
      </c>
      <c r="D21" s="6" t="s">
        <v>56</v>
      </c>
      <c r="E21" s="6" t="s">
        <v>57</v>
      </c>
      <c r="F21" s="7" t="n">
        <v>46300</v>
      </c>
      <c r="G21" s="7" t="n">
        <v>46311</v>
      </c>
      <c r="H21" s="8" t="n">
        <v>12</v>
      </c>
      <c r="I21" s="9"/>
      <c r="J21" s="10" t="n">
        <f aca="false">IF(H21=0,0,MIN(1,I21/H21))</f>
        <v>0</v>
      </c>
      <c r="K21" s="6" t="s">
        <v>19</v>
      </c>
    </row>
    <row r="22" customFormat="false" ht="15" hidden="false" customHeight="false" outlineLevel="0" collapsed="false">
      <c r="A22" s="6" t="s">
        <v>52</v>
      </c>
      <c r="B22" s="6" t="s">
        <v>53</v>
      </c>
      <c r="C22" s="6" t="s">
        <v>25</v>
      </c>
      <c r="D22" s="6" t="s">
        <v>58</v>
      </c>
      <c r="E22" s="6" t="s">
        <v>59</v>
      </c>
      <c r="F22" s="7" t="n">
        <v>46300</v>
      </c>
      <c r="G22" s="7" t="n">
        <v>46311</v>
      </c>
      <c r="H22" s="8" t="n">
        <v>9</v>
      </c>
      <c r="I22" s="9"/>
      <c r="J22" s="10" t="n">
        <f aca="false">IF(H22=0,0,MIN(1,I22/H22))</f>
        <v>0</v>
      </c>
      <c r="K22" s="6" t="s">
        <v>19</v>
      </c>
    </row>
    <row r="23" customFormat="false" ht="15" hidden="false" customHeight="false" outlineLevel="0" collapsed="false">
      <c r="A23" s="6" t="s">
        <v>52</v>
      </c>
      <c r="B23" s="6" t="s">
        <v>53</v>
      </c>
      <c r="C23" s="11" t="s">
        <v>28</v>
      </c>
      <c r="D23" s="11" t="s">
        <v>60</v>
      </c>
      <c r="E23" s="11" t="s">
        <v>30</v>
      </c>
      <c r="F23" s="7" t="n">
        <v>46300</v>
      </c>
      <c r="G23" s="7" t="n">
        <v>46311</v>
      </c>
      <c r="H23" s="8" t="n">
        <v>4</v>
      </c>
      <c r="I23" s="9"/>
      <c r="J23" s="10" t="n">
        <f aca="false">IF(H23=0,0,MIN(1,I23/H23))</f>
        <v>0</v>
      </c>
      <c r="K23" s="6" t="s">
        <v>19</v>
      </c>
    </row>
    <row r="24" customFormat="false" ht="23.85" hidden="false" customHeight="false" outlineLevel="0" collapsed="false">
      <c r="A24" s="6" t="s">
        <v>61</v>
      </c>
      <c r="B24" s="6" t="s">
        <v>62</v>
      </c>
      <c r="C24" s="6" t="s">
        <v>35</v>
      </c>
      <c r="D24" s="6" t="s">
        <v>63</v>
      </c>
      <c r="E24" s="6" t="s">
        <v>64</v>
      </c>
      <c r="F24" s="7" t="n">
        <v>46314</v>
      </c>
      <c r="G24" s="7" t="n">
        <v>46325</v>
      </c>
      <c r="H24" s="8" t="n">
        <v>9</v>
      </c>
      <c r="I24" s="9"/>
      <c r="J24" s="10" t="n">
        <f aca="false">IF(H24=0,0,MIN(1,I24/H24))</f>
        <v>0</v>
      </c>
      <c r="K24" s="6" t="s">
        <v>19</v>
      </c>
    </row>
    <row r="25" customFormat="false" ht="23.85" hidden="false" customHeight="false" outlineLevel="0" collapsed="false">
      <c r="A25" s="6" t="s">
        <v>61</v>
      </c>
      <c r="B25" s="6" t="s">
        <v>62</v>
      </c>
      <c r="C25" s="6" t="s">
        <v>35</v>
      </c>
      <c r="D25" s="6" t="s">
        <v>65</v>
      </c>
      <c r="E25" s="6" t="s">
        <v>66</v>
      </c>
      <c r="F25" s="7" t="n">
        <v>46314</v>
      </c>
      <c r="G25" s="7" t="n">
        <v>46325</v>
      </c>
      <c r="H25" s="8" t="n">
        <v>8</v>
      </c>
      <c r="I25" s="9"/>
      <c r="J25" s="10" t="n">
        <f aca="false">IF(H25=0,0,MIN(1,I25/H25))</f>
        <v>0</v>
      </c>
      <c r="K25" s="6" t="s">
        <v>19</v>
      </c>
    </row>
    <row r="26" customFormat="false" ht="23.85" hidden="false" customHeight="false" outlineLevel="0" collapsed="false">
      <c r="A26" s="6" t="s">
        <v>61</v>
      </c>
      <c r="B26" s="6" t="s">
        <v>62</v>
      </c>
      <c r="C26" s="6" t="s">
        <v>35</v>
      </c>
      <c r="D26" s="6" t="s">
        <v>67</v>
      </c>
      <c r="E26" s="6" t="s">
        <v>68</v>
      </c>
      <c r="F26" s="7" t="n">
        <v>46314</v>
      </c>
      <c r="G26" s="7" t="n">
        <v>46325</v>
      </c>
      <c r="H26" s="8" t="n">
        <v>6</v>
      </c>
      <c r="I26" s="9"/>
      <c r="J26" s="10" t="n">
        <f aca="false">IF(H26=0,0,MIN(1,I26/H26))</f>
        <v>0</v>
      </c>
      <c r="K26" s="6" t="s">
        <v>19</v>
      </c>
    </row>
    <row r="27" customFormat="false" ht="23.85" hidden="false" customHeight="false" outlineLevel="0" collapsed="false">
      <c r="A27" s="6" t="s">
        <v>61</v>
      </c>
      <c r="B27" s="6" t="s">
        <v>62</v>
      </c>
      <c r="C27" s="6" t="s">
        <v>25</v>
      </c>
      <c r="D27" s="6" t="s">
        <v>69</v>
      </c>
      <c r="E27" s="6" t="s">
        <v>70</v>
      </c>
      <c r="F27" s="7" t="n">
        <v>46314</v>
      </c>
      <c r="G27" s="7" t="n">
        <v>46325</v>
      </c>
      <c r="H27" s="8" t="n">
        <v>8</v>
      </c>
      <c r="I27" s="9"/>
      <c r="J27" s="10" t="n">
        <f aca="false">IF(H27=0,0,MIN(1,I27/H27))</f>
        <v>0</v>
      </c>
      <c r="K27" s="6" t="s">
        <v>19</v>
      </c>
    </row>
    <row r="28" customFormat="false" ht="23.85" hidden="false" customHeight="false" outlineLevel="0" collapsed="false">
      <c r="A28" s="6" t="s">
        <v>61</v>
      </c>
      <c r="B28" s="6" t="s">
        <v>62</v>
      </c>
      <c r="C28" s="11" t="s">
        <v>28</v>
      </c>
      <c r="D28" s="11" t="s">
        <v>71</v>
      </c>
      <c r="E28" s="11" t="s">
        <v>72</v>
      </c>
      <c r="F28" s="7" t="n">
        <v>46314</v>
      </c>
      <c r="G28" s="7" t="n">
        <v>46325</v>
      </c>
      <c r="H28" s="8" t="n">
        <v>4</v>
      </c>
      <c r="I28" s="9"/>
      <c r="J28" s="10" t="n">
        <f aca="false">IF(H28=0,0,MIN(1,I28/H28))</f>
        <v>0</v>
      </c>
      <c r="K28" s="6" t="s">
        <v>19</v>
      </c>
    </row>
    <row r="29" customFormat="false" ht="23.85" hidden="false" customHeight="false" outlineLevel="0" collapsed="false">
      <c r="A29" s="6" t="s">
        <v>73</v>
      </c>
      <c r="B29" s="6" t="s">
        <v>74</v>
      </c>
      <c r="C29" s="6" t="s">
        <v>35</v>
      </c>
      <c r="D29" s="6" t="s">
        <v>75</v>
      </c>
      <c r="E29" s="6" t="s">
        <v>76</v>
      </c>
      <c r="F29" s="7" t="n">
        <v>46328</v>
      </c>
      <c r="G29" s="7" t="n">
        <v>46339</v>
      </c>
      <c r="H29" s="8" t="n">
        <v>9</v>
      </c>
      <c r="I29" s="9"/>
      <c r="J29" s="10" t="n">
        <f aca="false">IF(H29=0,0,MIN(1,I29/H29))</f>
        <v>0</v>
      </c>
      <c r="K29" s="6" t="s">
        <v>19</v>
      </c>
    </row>
    <row r="30" customFormat="false" ht="23.85" hidden="false" customHeight="false" outlineLevel="0" collapsed="false">
      <c r="A30" s="6" t="s">
        <v>73</v>
      </c>
      <c r="B30" s="6" t="s">
        <v>74</v>
      </c>
      <c r="C30" s="6" t="s">
        <v>25</v>
      </c>
      <c r="D30" s="6" t="s">
        <v>77</v>
      </c>
      <c r="E30" s="6" t="s">
        <v>78</v>
      </c>
      <c r="F30" s="7" t="n">
        <v>46328</v>
      </c>
      <c r="G30" s="7" t="n">
        <v>46339</v>
      </c>
      <c r="H30" s="8" t="n">
        <v>10</v>
      </c>
      <c r="I30" s="9"/>
      <c r="J30" s="10" t="n">
        <f aca="false">IF(H30=0,0,MIN(1,I30/H30))</f>
        <v>0</v>
      </c>
      <c r="K30" s="6" t="s">
        <v>19</v>
      </c>
    </row>
    <row r="31" customFormat="false" ht="23.85" hidden="false" customHeight="false" outlineLevel="0" collapsed="false">
      <c r="A31" s="6" t="s">
        <v>73</v>
      </c>
      <c r="B31" s="6" t="s">
        <v>74</v>
      </c>
      <c r="C31" s="6" t="s">
        <v>25</v>
      </c>
      <c r="D31" s="6" t="s">
        <v>79</v>
      </c>
      <c r="E31" s="6" t="s">
        <v>80</v>
      </c>
      <c r="F31" s="7" t="n">
        <v>46328</v>
      </c>
      <c r="G31" s="7" t="n">
        <v>46339</v>
      </c>
      <c r="H31" s="8" t="n">
        <v>8</v>
      </c>
      <c r="I31" s="9"/>
      <c r="J31" s="10" t="n">
        <f aca="false">IF(H31=0,0,MIN(1,I31/H31))</f>
        <v>0</v>
      </c>
      <c r="K31" s="6" t="s">
        <v>19</v>
      </c>
    </row>
    <row r="32" customFormat="false" ht="23.85" hidden="false" customHeight="false" outlineLevel="0" collapsed="false">
      <c r="A32" s="6" t="s">
        <v>73</v>
      </c>
      <c r="B32" s="6" t="s">
        <v>74</v>
      </c>
      <c r="C32" s="11" t="s">
        <v>28</v>
      </c>
      <c r="D32" s="11" t="s">
        <v>81</v>
      </c>
      <c r="E32" s="11" t="s">
        <v>82</v>
      </c>
      <c r="F32" s="7" t="n">
        <v>46328</v>
      </c>
      <c r="G32" s="7" t="n">
        <v>46339</v>
      </c>
      <c r="H32" s="8" t="n">
        <v>4</v>
      </c>
      <c r="I32" s="9"/>
      <c r="J32" s="10" t="n">
        <f aca="false">IF(H32=0,0,MIN(1,I32/H32))</f>
        <v>0</v>
      </c>
      <c r="K32" s="6" t="s">
        <v>19</v>
      </c>
    </row>
    <row r="33" customFormat="false" ht="23.85" hidden="false" customHeight="false" outlineLevel="0" collapsed="false">
      <c r="A33" s="6" t="s">
        <v>73</v>
      </c>
      <c r="B33" s="6" t="s">
        <v>74</v>
      </c>
      <c r="C33" s="6" t="s">
        <v>22</v>
      </c>
      <c r="D33" s="6" t="s">
        <v>83</v>
      </c>
      <c r="E33" s="6" t="s">
        <v>84</v>
      </c>
      <c r="F33" s="7" t="n">
        <v>46328</v>
      </c>
      <c r="G33" s="7" t="n">
        <v>46339</v>
      </c>
      <c r="H33" s="8" t="n">
        <v>4</v>
      </c>
      <c r="I33" s="9"/>
      <c r="J33" s="10" t="n">
        <f aca="false">IF(H33=0,0,MIN(1,I33/H33))</f>
        <v>0</v>
      </c>
      <c r="K33" s="6" t="s">
        <v>19</v>
      </c>
    </row>
    <row r="34" customFormat="false" ht="15" hidden="false" customHeight="false" outlineLevel="0" collapsed="false">
      <c r="A34" s="6" t="s">
        <v>85</v>
      </c>
      <c r="B34" s="6" t="s">
        <v>86</v>
      </c>
      <c r="C34" s="6" t="s">
        <v>22</v>
      </c>
      <c r="D34" s="6" t="s">
        <v>87</v>
      </c>
      <c r="E34" s="6" t="s">
        <v>88</v>
      </c>
      <c r="F34" s="7" t="n">
        <v>46342</v>
      </c>
      <c r="G34" s="7" t="n">
        <v>46346</v>
      </c>
      <c r="H34" s="8" t="n">
        <v>8</v>
      </c>
      <c r="I34" s="9"/>
      <c r="J34" s="10" t="n">
        <f aca="false">IF(H34=0,0,MIN(1,I34/H34))</f>
        <v>0</v>
      </c>
      <c r="K34" s="6" t="s">
        <v>19</v>
      </c>
    </row>
    <row r="35" customFormat="false" ht="15" hidden="false" customHeight="false" outlineLevel="0" collapsed="false">
      <c r="A35" s="6" t="s">
        <v>85</v>
      </c>
      <c r="B35" s="6" t="s">
        <v>86</v>
      </c>
      <c r="C35" s="6" t="s">
        <v>22</v>
      </c>
      <c r="D35" s="6" t="s">
        <v>89</v>
      </c>
      <c r="E35" s="6" t="s">
        <v>90</v>
      </c>
      <c r="F35" s="7" t="n">
        <v>46342</v>
      </c>
      <c r="G35" s="7" t="n">
        <v>46346</v>
      </c>
      <c r="H35" s="8" t="n">
        <v>8</v>
      </c>
      <c r="I35" s="9"/>
      <c r="J35" s="10" t="n">
        <f aca="false">IF(H35=0,0,MIN(1,I35/H35))</f>
        <v>0</v>
      </c>
      <c r="K35" s="6" t="s">
        <v>19</v>
      </c>
    </row>
    <row r="36" customFormat="false" ht="15" hidden="false" customHeight="false" outlineLevel="0" collapsed="false">
      <c r="A36" s="6" t="s">
        <v>85</v>
      </c>
      <c r="B36" s="6" t="s">
        <v>86</v>
      </c>
      <c r="C36" s="11" t="s">
        <v>28</v>
      </c>
      <c r="D36" s="11" t="s">
        <v>91</v>
      </c>
      <c r="E36" s="11" t="s">
        <v>92</v>
      </c>
      <c r="F36" s="7" t="n">
        <v>46342</v>
      </c>
      <c r="G36" s="7" t="n">
        <v>46346</v>
      </c>
      <c r="H36" s="8" t="n">
        <v>4</v>
      </c>
      <c r="I36" s="9"/>
      <c r="J36" s="10" t="n">
        <f aca="false">IF(H36=0,0,MIN(1,I36/H36))</f>
        <v>0</v>
      </c>
      <c r="K36" s="6" t="s">
        <v>19</v>
      </c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12" t="s">
        <v>93</v>
      </c>
      <c r="H37" s="12" t="n">
        <f aca="false">SUM(H6:H36)</f>
        <v>230</v>
      </c>
      <c r="I37" s="12" t="n">
        <f aca="false">SUM(I6:I36)</f>
        <v>0</v>
      </c>
      <c r="J37" s="13" t="n">
        <f aca="false">IF(H37=0,0,I37/H37)</f>
        <v>0</v>
      </c>
      <c r="K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14" t="s">
        <v>94</v>
      </c>
      <c r="H38" s="15" t="str">
        <f aca="false">IF(H37=230,"Cuadra: 230 h","Revisar suma")</f>
        <v>Cuadra: 230 h</v>
      </c>
      <c r="I38" s="2"/>
      <c r="J38" s="2"/>
      <c r="K3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4" min="3" style="0" width="11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9"/>
  </cols>
  <sheetData>
    <row r="1" customFormat="false" ht="16.15" hidden="false" customHeight="false" outlineLevel="0" collapsed="false">
      <c r="A1" s="16" t="s">
        <v>95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6.85" hidden="false" customHeight="false" outlineLevel="0" collapsed="false">
      <c r="A3" s="17" t="s">
        <v>3</v>
      </c>
      <c r="B3" s="17" t="s">
        <v>96</v>
      </c>
      <c r="C3" s="17" t="s">
        <v>8</v>
      </c>
      <c r="D3" s="17" t="s">
        <v>9</v>
      </c>
      <c r="E3" s="17" t="s">
        <v>97</v>
      </c>
      <c r="F3" s="17" t="s">
        <v>10</v>
      </c>
      <c r="G3" s="17" t="s">
        <v>98</v>
      </c>
      <c r="H3" s="17" t="s">
        <v>99</v>
      </c>
      <c r="I3" s="17" t="s">
        <v>100</v>
      </c>
      <c r="J3" s="17" t="s">
        <v>11</v>
      </c>
      <c r="K3" s="17" t="s">
        <v>12</v>
      </c>
    </row>
    <row r="4" customFormat="false" ht="15" hidden="false" customHeight="false" outlineLevel="0" collapsed="false">
      <c r="A4" s="18" t="s">
        <v>14</v>
      </c>
      <c r="B4" s="18" t="s">
        <v>15</v>
      </c>
      <c r="C4" s="19" t="n">
        <v>46258</v>
      </c>
      <c r="D4" s="19" t="n">
        <v>46269</v>
      </c>
      <c r="E4" s="18" t="n">
        <f aca="false">ROUND((D4-C4+3)/7,0)</f>
        <v>2</v>
      </c>
      <c r="F4" s="18" t="n">
        <f aca="false">SUMIFS(Cronograma!$H$6:$H$36,Cronograma!$A$6:$A$36,A4)</f>
        <v>35</v>
      </c>
      <c r="G4" s="20" t="n">
        <f aca="false">IF(E4=0,0,F4/E4)</f>
        <v>17.5</v>
      </c>
      <c r="H4" s="18" t="n">
        <f aca="false">SUMIFS(Cronograma!$H$6:$H$36,Cronograma!$A$6:$A$36,A4,Cronograma!$C$6:$C$36,"Prueba")</f>
        <v>5</v>
      </c>
      <c r="I4" s="18" t="n">
        <f aca="false">SUMIFS(Cronograma!$H$6:$H$36,Cronograma!$A$6:$A$36,A4,Cronograma!$C$6:$C$36,"Revisión SQA")</f>
        <v>3</v>
      </c>
      <c r="J4" s="18" t="n">
        <f aca="false">SUMIFS(Cronograma!$I$6:$I$36,Cronograma!$A$6:$A$36,A4)</f>
        <v>0</v>
      </c>
      <c r="K4" s="21" t="n">
        <f aca="false">IF(F4=0,0,J4/F4)</f>
        <v>0</v>
      </c>
    </row>
    <row r="5" customFormat="false" ht="15" hidden="false" customHeight="false" outlineLevel="0" collapsed="false">
      <c r="A5" s="18" t="s">
        <v>31</v>
      </c>
      <c r="B5" s="18" t="s">
        <v>32</v>
      </c>
      <c r="C5" s="19" t="n">
        <v>46272</v>
      </c>
      <c r="D5" s="19" t="n">
        <v>46283</v>
      </c>
      <c r="E5" s="18" t="n">
        <f aca="false">ROUND((D5-C5+3)/7,0)</f>
        <v>2</v>
      </c>
      <c r="F5" s="18" t="n">
        <f aca="false">SUMIFS(Cronograma!$H$6:$H$36,Cronograma!$A$6:$A$36,A5)</f>
        <v>35</v>
      </c>
      <c r="G5" s="20" t="n">
        <f aca="false">IF(E5=0,0,F5/E5)</f>
        <v>17.5</v>
      </c>
      <c r="H5" s="18" t="n">
        <f aca="false">SUMIFS(Cronograma!$H$6:$H$36,Cronograma!$A$6:$A$36,A5,Cronograma!$C$6:$C$36,"Prueba")</f>
        <v>5</v>
      </c>
      <c r="I5" s="18" t="n">
        <f aca="false">SUMIFS(Cronograma!$H$6:$H$36,Cronograma!$A$6:$A$36,A5,Cronograma!$C$6:$C$36,"Revisión SQA")</f>
        <v>3</v>
      </c>
      <c r="J5" s="18" t="n">
        <f aca="false">SUMIFS(Cronograma!$I$6:$I$36,Cronograma!$A$6:$A$36,A5)</f>
        <v>0</v>
      </c>
      <c r="K5" s="21" t="n">
        <f aca="false">IF(F5=0,0,J5/F5)</f>
        <v>0</v>
      </c>
    </row>
    <row r="6" customFormat="false" ht="15" hidden="false" customHeight="false" outlineLevel="0" collapsed="false">
      <c r="A6" s="18" t="s">
        <v>43</v>
      </c>
      <c r="B6" s="18" t="s">
        <v>44</v>
      </c>
      <c r="C6" s="19" t="n">
        <v>46286</v>
      </c>
      <c r="D6" s="19" t="n">
        <v>46297</v>
      </c>
      <c r="E6" s="18" t="n">
        <f aca="false">ROUND((D6-C6+3)/7,0)</f>
        <v>2</v>
      </c>
      <c r="F6" s="18" t="n">
        <f aca="false">SUMIFS(Cronograma!$H$6:$H$36,Cronograma!$A$6:$A$36,A6)</f>
        <v>35</v>
      </c>
      <c r="G6" s="20" t="n">
        <f aca="false">IF(E6=0,0,F6/E6)</f>
        <v>17.5</v>
      </c>
      <c r="H6" s="18" t="n">
        <f aca="false">SUMIFS(Cronograma!$H$6:$H$36,Cronograma!$A$6:$A$36,A6,Cronograma!$C$6:$C$36,"Prueba")</f>
        <v>9</v>
      </c>
      <c r="I6" s="18" t="n">
        <f aca="false">SUMIFS(Cronograma!$H$6:$H$36,Cronograma!$A$6:$A$36,A6,Cronograma!$C$6:$C$36,"Revisión SQA")</f>
        <v>4</v>
      </c>
      <c r="J6" s="18" t="n">
        <f aca="false">SUMIFS(Cronograma!$I$6:$I$36,Cronograma!$A$6:$A$36,A6)</f>
        <v>0</v>
      </c>
      <c r="K6" s="21" t="n">
        <f aca="false">IF(F6=0,0,J6/F6)</f>
        <v>0</v>
      </c>
    </row>
    <row r="7" customFormat="false" ht="15" hidden="false" customHeight="false" outlineLevel="0" collapsed="false">
      <c r="A7" s="18" t="s">
        <v>52</v>
      </c>
      <c r="B7" s="18" t="s">
        <v>53</v>
      </c>
      <c r="C7" s="19" t="n">
        <v>46300</v>
      </c>
      <c r="D7" s="19" t="n">
        <v>46311</v>
      </c>
      <c r="E7" s="18" t="n">
        <f aca="false">ROUND((D7-C7+3)/7,0)</f>
        <v>2</v>
      </c>
      <c r="F7" s="18" t="n">
        <f aca="false">SUMIFS(Cronograma!$H$6:$H$36,Cronograma!$A$6:$A$36,A7)</f>
        <v>35</v>
      </c>
      <c r="G7" s="20" t="n">
        <f aca="false">IF(E7=0,0,F7/E7)</f>
        <v>17.5</v>
      </c>
      <c r="H7" s="18" t="n">
        <f aca="false">SUMIFS(Cronograma!$H$6:$H$36,Cronograma!$A$6:$A$36,A7,Cronograma!$C$6:$C$36,"Prueba")</f>
        <v>9</v>
      </c>
      <c r="I7" s="18" t="n">
        <f aca="false">SUMIFS(Cronograma!$H$6:$H$36,Cronograma!$A$6:$A$36,A7,Cronograma!$C$6:$C$36,"Revisión SQA")</f>
        <v>4</v>
      </c>
      <c r="J7" s="18" t="n">
        <f aca="false">SUMIFS(Cronograma!$I$6:$I$36,Cronograma!$A$6:$A$36,A7)</f>
        <v>0</v>
      </c>
      <c r="K7" s="21" t="n">
        <f aca="false">IF(F7=0,0,J7/F7)</f>
        <v>0</v>
      </c>
    </row>
    <row r="8" customFormat="false" ht="15" hidden="false" customHeight="false" outlineLevel="0" collapsed="false">
      <c r="A8" s="18" t="s">
        <v>61</v>
      </c>
      <c r="B8" s="18" t="s">
        <v>62</v>
      </c>
      <c r="C8" s="19" t="n">
        <v>46314</v>
      </c>
      <c r="D8" s="19" t="n">
        <v>46325</v>
      </c>
      <c r="E8" s="18" t="n">
        <f aca="false">ROUND((D8-C8+3)/7,0)</f>
        <v>2</v>
      </c>
      <c r="F8" s="18" t="n">
        <f aca="false">SUMIFS(Cronograma!$H$6:$H$36,Cronograma!$A$6:$A$36,A8)</f>
        <v>35</v>
      </c>
      <c r="G8" s="20" t="n">
        <f aca="false">IF(E8=0,0,F8/E8)</f>
        <v>17.5</v>
      </c>
      <c r="H8" s="18" t="n">
        <f aca="false">SUMIFS(Cronograma!$H$6:$H$36,Cronograma!$A$6:$A$36,A8,Cronograma!$C$6:$C$36,"Prueba")</f>
        <v>8</v>
      </c>
      <c r="I8" s="18" t="n">
        <f aca="false">SUMIFS(Cronograma!$H$6:$H$36,Cronograma!$A$6:$A$36,A8,Cronograma!$C$6:$C$36,"Revisión SQA")</f>
        <v>4</v>
      </c>
      <c r="J8" s="18" t="n">
        <f aca="false">SUMIFS(Cronograma!$I$6:$I$36,Cronograma!$A$6:$A$36,A8)</f>
        <v>0</v>
      </c>
      <c r="K8" s="21" t="n">
        <f aca="false">IF(F8=0,0,J8/F8)</f>
        <v>0</v>
      </c>
    </row>
    <row r="9" customFormat="false" ht="15" hidden="false" customHeight="false" outlineLevel="0" collapsed="false">
      <c r="A9" s="18" t="s">
        <v>73</v>
      </c>
      <c r="B9" s="18" t="s">
        <v>74</v>
      </c>
      <c r="C9" s="19" t="n">
        <v>46328</v>
      </c>
      <c r="D9" s="19" t="n">
        <v>46339</v>
      </c>
      <c r="E9" s="18" t="n">
        <f aca="false">ROUND((D9-C9+3)/7,0)</f>
        <v>2</v>
      </c>
      <c r="F9" s="18" t="n">
        <f aca="false">SUMIFS(Cronograma!$H$6:$H$36,Cronograma!$A$6:$A$36,A9)</f>
        <v>35</v>
      </c>
      <c r="G9" s="20" t="n">
        <f aca="false">IF(E9=0,0,F9/E9)</f>
        <v>17.5</v>
      </c>
      <c r="H9" s="18" t="n">
        <f aca="false">SUMIFS(Cronograma!$H$6:$H$36,Cronograma!$A$6:$A$36,A9,Cronograma!$C$6:$C$36,"Prueba")</f>
        <v>18</v>
      </c>
      <c r="I9" s="18" t="n">
        <f aca="false">SUMIFS(Cronograma!$H$6:$H$36,Cronograma!$A$6:$A$36,A9,Cronograma!$C$6:$C$36,"Revisión SQA")</f>
        <v>4</v>
      </c>
      <c r="J9" s="18" t="n">
        <f aca="false">SUMIFS(Cronograma!$I$6:$I$36,Cronograma!$A$6:$A$36,A9)</f>
        <v>0</v>
      </c>
      <c r="K9" s="21" t="n">
        <f aca="false">IF(F9=0,0,J9/F9)</f>
        <v>0</v>
      </c>
    </row>
    <row r="10" customFormat="false" ht="15" hidden="false" customHeight="false" outlineLevel="0" collapsed="false">
      <c r="A10" s="18" t="s">
        <v>85</v>
      </c>
      <c r="B10" s="18" t="s">
        <v>86</v>
      </c>
      <c r="C10" s="19" t="n">
        <v>46342</v>
      </c>
      <c r="D10" s="19" t="n">
        <v>46346</v>
      </c>
      <c r="E10" s="18" t="n">
        <f aca="false">ROUND((D10-C10+3)/7,0)</f>
        <v>1</v>
      </c>
      <c r="F10" s="18" t="n">
        <f aca="false">SUMIFS(Cronograma!$H$6:$H$36,Cronograma!$A$6:$A$36,A10)</f>
        <v>20</v>
      </c>
      <c r="G10" s="20" t="n">
        <f aca="false">IF(E10=0,0,F10/E10)</f>
        <v>20</v>
      </c>
      <c r="H10" s="18" t="n">
        <f aca="false">SUMIFS(Cronograma!$H$6:$H$36,Cronograma!$A$6:$A$36,A10,Cronograma!$C$6:$C$36,"Prueba")</f>
        <v>0</v>
      </c>
      <c r="I10" s="18" t="n">
        <f aca="false">SUMIFS(Cronograma!$H$6:$H$36,Cronograma!$A$6:$A$36,A10,Cronograma!$C$6:$C$36,"Revisión SQA")</f>
        <v>4</v>
      </c>
      <c r="J10" s="18" t="n">
        <f aca="false">SUMIFS(Cronograma!$I$6:$I$36,Cronograma!$A$6:$A$36,A10)</f>
        <v>0</v>
      </c>
      <c r="K10" s="21" t="n">
        <f aca="false">IF(F10=0,0,J10/F10)</f>
        <v>0</v>
      </c>
    </row>
    <row r="11" customFormat="false" ht="15" hidden="false" customHeight="false" outlineLevel="0" collapsed="false">
      <c r="A11" s="12" t="s">
        <v>93</v>
      </c>
      <c r="B11" s="2"/>
      <c r="C11" s="2"/>
      <c r="D11" s="2"/>
      <c r="E11" s="12" t="n">
        <f aca="false">SUM(E4:E10)</f>
        <v>13</v>
      </c>
      <c r="F11" s="12" t="n">
        <f aca="false">SUM(F4:F10)</f>
        <v>230</v>
      </c>
      <c r="G11" s="22" t="n">
        <f aca="false">IF(E11=0,0,F11/E11)</f>
        <v>17.6923076923077</v>
      </c>
      <c r="H11" s="12" t="n">
        <f aca="false">SUM(H4:H10)</f>
        <v>54</v>
      </c>
      <c r="I11" s="12" t="n">
        <f aca="false">SUM(I4:I10)</f>
        <v>26</v>
      </c>
      <c r="J11" s="12" t="n">
        <f aca="false">SUM(J4:J10)</f>
        <v>0</v>
      </c>
      <c r="K11" s="13" t="n">
        <f aca="false">IF(F11=0,0,J11/F11)</f>
        <v>0</v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customFormat="false" ht="15" hidden="false" customHeight="false" outlineLevel="0" collapsed="false">
      <c r="A13" s="12" t="s">
        <v>101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customFormat="false" ht="15" hidden="false" customHeight="false" outlineLevel="0" collapsed="false">
      <c r="A14" s="23" t="s">
        <v>102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customFormat="false" ht="15" hidden="false" customHeight="false" outlineLevel="0" collapsed="false">
      <c r="A15" s="23" t="s">
        <v>103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customFormat="false" ht="15" hidden="false" customHeight="false" outlineLevel="0" collapsed="false">
      <c r="A16" s="23" t="s">
        <v>104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customFormat="false" ht="15" hidden="false" customHeight="false" outlineLevel="0" collapsed="false">
      <c r="A17" s="23" t="s">
        <v>105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customFormat="false" ht="15" hidden="false" customHeight="false" outlineLevel="0" collapsed="false">
      <c r="A18" s="23" t="s">
        <v>106</v>
      </c>
      <c r="B18" s="2"/>
      <c r="C18" s="2"/>
      <c r="D18" s="2"/>
      <c r="E18" s="2"/>
      <c r="F18" s="2"/>
      <c r="G18" s="2"/>
      <c r="H18" s="2"/>
      <c r="I18" s="2"/>
      <c r="J18" s="2"/>
      <c r="K1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70"/>
  </cols>
  <sheetData>
    <row r="1" customFormat="false" ht="16.15" hidden="false" customHeight="false" outlineLevel="0" collapsed="false">
      <c r="A1" s="16" t="s">
        <v>107</v>
      </c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24" t="s">
        <v>108</v>
      </c>
      <c r="B3" s="24" t="s">
        <v>109</v>
      </c>
      <c r="C3" s="24" t="s">
        <v>110</v>
      </c>
      <c r="D3" s="24" t="s">
        <v>111</v>
      </c>
    </row>
    <row r="4" customFormat="false" ht="15" hidden="false" customHeight="false" outlineLevel="0" collapsed="false">
      <c r="A4" s="25" t="s">
        <v>112</v>
      </c>
      <c r="B4" s="26" t="n">
        <v>46269</v>
      </c>
      <c r="C4" s="25" t="s">
        <v>113</v>
      </c>
      <c r="D4" s="25" t="s">
        <v>114</v>
      </c>
    </row>
    <row r="5" customFormat="false" ht="15" hidden="false" customHeight="false" outlineLevel="0" collapsed="false">
      <c r="A5" s="25" t="s">
        <v>115</v>
      </c>
      <c r="B5" s="26" t="n">
        <v>46283</v>
      </c>
      <c r="C5" s="25" t="s">
        <v>116</v>
      </c>
      <c r="D5" s="25" t="s">
        <v>117</v>
      </c>
    </row>
    <row r="6" customFormat="false" ht="15" hidden="false" customHeight="false" outlineLevel="0" collapsed="false">
      <c r="A6" s="25" t="s">
        <v>118</v>
      </c>
      <c r="B6" s="26" t="n">
        <v>46297</v>
      </c>
      <c r="C6" s="25" t="s">
        <v>119</v>
      </c>
      <c r="D6" s="25" t="s">
        <v>120</v>
      </c>
    </row>
    <row r="7" customFormat="false" ht="15" hidden="false" customHeight="false" outlineLevel="0" collapsed="false">
      <c r="A7" s="25" t="s">
        <v>121</v>
      </c>
      <c r="B7" s="26" t="n">
        <v>46311</v>
      </c>
      <c r="C7" s="25" t="s">
        <v>53</v>
      </c>
      <c r="D7" s="25" t="s">
        <v>122</v>
      </c>
    </row>
    <row r="8" customFormat="false" ht="15" hidden="false" customHeight="false" outlineLevel="0" collapsed="false">
      <c r="A8" s="25" t="s">
        <v>123</v>
      </c>
      <c r="B8" s="26" t="n">
        <v>46325</v>
      </c>
      <c r="C8" s="25" t="s">
        <v>124</v>
      </c>
      <c r="D8" s="25" t="s">
        <v>125</v>
      </c>
    </row>
    <row r="9" customFormat="false" ht="15" hidden="false" customHeight="false" outlineLevel="0" collapsed="false">
      <c r="A9" s="25" t="s">
        <v>126</v>
      </c>
      <c r="B9" s="26" t="n">
        <v>46339</v>
      </c>
      <c r="C9" s="25" t="s">
        <v>127</v>
      </c>
      <c r="D9" s="25" t="s">
        <v>128</v>
      </c>
    </row>
    <row r="10" customFormat="false" ht="15" hidden="false" customHeight="false" outlineLevel="0" collapsed="false">
      <c r="A10" s="25" t="s">
        <v>86</v>
      </c>
      <c r="B10" s="26" t="n">
        <v>46346</v>
      </c>
      <c r="C10" s="25" t="s">
        <v>129</v>
      </c>
      <c r="D10" s="25" t="s">
        <v>130</v>
      </c>
    </row>
    <row r="11" customFormat="false" ht="15" hidden="false" customHeight="false" outlineLevel="0" collapsed="false">
      <c r="A11" s="2"/>
      <c r="B11" s="2"/>
      <c r="C11" s="2"/>
      <c r="D11" s="2"/>
    </row>
    <row r="12" customFormat="false" ht="15" hidden="false" customHeight="false" outlineLevel="0" collapsed="false">
      <c r="A12" s="2"/>
      <c r="B12" s="2"/>
      <c r="C12" s="2"/>
      <c r="D12" s="2"/>
    </row>
    <row r="13" customFormat="false" ht="15" hidden="false" customHeight="false" outlineLevel="0" collapsed="false">
      <c r="A13" s="3" t="s">
        <v>131</v>
      </c>
      <c r="B13" s="2"/>
      <c r="C13" s="2"/>
      <c r="D1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2026-10-22T18:02:59Z</dcterms:created>
  <dc:creator>openpyxl</dc:creator>
  <dc:description/>
  <dc:language>en-US</dc:language>
  <cp:lastModifiedBy/>
  <dcterms:modified xsi:type="dcterms:W3CDTF">2026-10-22T18:02:59Z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